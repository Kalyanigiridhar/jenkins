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755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1" l="1"/>
  <c r="M14" i="1"/>
  <c r="G14" i="2"/>
  <c r="G13" i="2"/>
  <c r="G12" i="2"/>
  <c r="E16" i="2"/>
  <c r="G2" i="2"/>
  <c r="J7" i="2"/>
  <c r="G25" i="1"/>
  <c r="L26" i="1"/>
  <c r="G23" i="1"/>
  <c r="K26" i="1"/>
  <c r="G21" i="1"/>
  <c r="J25" i="1"/>
  <c r="G6" i="1"/>
  <c r="G7" i="1"/>
  <c r="L8" i="1"/>
</calcChain>
</file>

<file path=xl/sharedStrings.xml><?xml version="1.0" encoding="utf-8"?>
<sst xmlns="http://schemas.openxmlformats.org/spreadsheetml/2006/main" count="50" uniqueCount="41">
  <si>
    <t xml:space="preserve">sl </t>
  </si>
  <si>
    <t>name</t>
  </si>
  <si>
    <t>trader name</t>
  </si>
  <si>
    <t>amont</t>
  </si>
  <si>
    <t>Prathp</t>
  </si>
  <si>
    <t>kauthy agency</t>
  </si>
  <si>
    <t>date</t>
  </si>
  <si>
    <t>Matha Infra tech</t>
  </si>
  <si>
    <t>sree gayathri hard ware and steel</t>
  </si>
  <si>
    <t>sri anjaneyaswamy traders</t>
  </si>
  <si>
    <t>om sai enter prises</t>
  </si>
  <si>
    <t>jan</t>
  </si>
  <si>
    <t>sl</t>
  </si>
  <si>
    <t xml:space="preserve"> traders name</t>
  </si>
  <si>
    <t>amount</t>
  </si>
  <si>
    <t>balance</t>
  </si>
  <si>
    <t>ragavendra</t>
  </si>
  <si>
    <t xml:space="preserve">om sai ram enter prises </t>
  </si>
  <si>
    <t>slv infra</t>
  </si>
  <si>
    <t>j c enterprices</t>
  </si>
  <si>
    <t>sri lakshmi narasimha traders</t>
  </si>
  <si>
    <t>sr infra</t>
  </si>
  <si>
    <t>sri maruthi enter prices</t>
  </si>
  <si>
    <t>om sai ram</t>
  </si>
  <si>
    <t xml:space="preserve">j c enter </t>
  </si>
  <si>
    <t>Sl no</t>
  </si>
  <si>
    <t>traders name</t>
  </si>
  <si>
    <t>suresh</t>
  </si>
  <si>
    <t>LAKSHMI ASSOCIATES</t>
  </si>
  <si>
    <t>JAN</t>
  </si>
  <si>
    <t>BALANCE</t>
  </si>
  <si>
    <t>SL</t>
  </si>
  <si>
    <t>DATE</t>
  </si>
  <si>
    <t>NAME</t>
  </si>
  <si>
    <t>TRADERS NAME</t>
  </si>
  <si>
    <t>AMOUNT</t>
  </si>
  <si>
    <t>NAGESH</t>
  </si>
  <si>
    <t>SRI GANGA STEEL &amp;CEMENT</t>
  </si>
  <si>
    <t>SGS TRADERS</t>
  </si>
  <si>
    <t>SRI LAKSMI DEVI TRADERS</t>
  </si>
  <si>
    <t>SRI VINAYAKA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</si>
</sst>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M5" sqref="M5"/>
    </sheetView>
  </sheetViews>
  <sheetFormatPr defaultRowHeight="15" x14ac:dyDescent="0.25"/>
  <cols>
    <col min="1" max="2" width="10.42578125" bestFit="1" customWidth="1"/>
    <col min="4" max="4" width="26.42578125" customWidth="1"/>
    <col min="5" max="6" width="12.140625" customWidth="1"/>
  </cols>
  <sheetData>
    <row r="1" spans="1:11" x14ac:dyDescent="0.25">
      <c r="A1" s="1" t="s">
        <v>25</v>
      </c>
      <c r="B1" s="1" t="s">
        <v>6</v>
      </c>
      <c r="C1" s="1" t="s">
        <v>1</v>
      </c>
      <c r="D1" s="1" t="s">
        <v>26</v>
      </c>
      <c r="E1" s="1" t="s">
        <v>14</v>
      </c>
      <c r="F1" s="1" t="s">
        <v>29</v>
      </c>
      <c r="G1" s="1" t="s">
        <v>30</v>
      </c>
      <c r="J1" s="1"/>
      <c r="K1" s="1"/>
    </row>
    <row r="2" spans="1:11" x14ac:dyDescent="0.25">
      <c r="A2" s="1">
        <v>1</v>
      </c>
      <c r="B2" s="2">
        <v>46031</v>
      </c>
      <c r="C2" s="1" t="s">
        <v>27</v>
      </c>
      <c r="D2" s="1" t="s">
        <v>28</v>
      </c>
      <c r="E2" s="1">
        <v>525150</v>
      </c>
      <c r="F2" s="1">
        <v>524487</v>
      </c>
      <c r="G2" s="1">
        <f>E2-F2</f>
        <v>663</v>
      </c>
      <c r="J2" s="1">
        <v>103000</v>
      </c>
      <c r="K2" s="1"/>
    </row>
    <row r="3" spans="1:11" x14ac:dyDescent="0.25">
      <c r="A3" s="1"/>
      <c r="B3" s="1"/>
      <c r="C3" s="1"/>
      <c r="D3" s="1"/>
      <c r="E3" s="1"/>
      <c r="F3" s="1"/>
      <c r="G3" s="1"/>
      <c r="J3" s="1">
        <v>94080</v>
      </c>
      <c r="K3" s="1"/>
    </row>
    <row r="4" spans="1:11" x14ac:dyDescent="0.25">
      <c r="A4" s="1"/>
      <c r="B4" s="1"/>
      <c r="C4" s="1"/>
      <c r="D4" s="1"/>
      <c r="E4" s="1"/>
      <c r="F4" s="1"/>
      <c r="G4" s="1"/>
      <c r="J4" s="1">
        <v>82000</v>
      </c>
      <c r="K4" s="1"/>
    </row>
    <row r="5" spans="1:11" x14ac:dyDescent="0.25">
      <c r="A5" s="1"/>
      <c r="B5" s="1"/>
      <c r="C5" s="1"/>
      <c r="D5" s="1"/>
      <c r="E5" s="1"/>
      <c r="F5" s="1"/>
      <c r="G5" s="1"/>
      <c r="J5" s="1">
        <v>90000</v>
      </c>
      <c r="K5" s="1"/>
    </row>
    <row r="6" spans="1:11" x14ac:dyDescent="0.25">
      <c r="A6" s="1"/>
      <c r="B6" s="1"/>
      <c r="C6" s="1"/>
      <c r="D6" s="1"/>
      <c r="E6" s="1"/>
      <c r="F6" s="1"/>
      <c r="G6" s="1"/>
      <c r="J6" s="1">
        <v>155407</v>
      </c>
      <c r="K6" s="1"/>
    </row>
    <row r="7" spans="1:11" x14ac:dyDescent="0.25">
      <c r="A7" s="1"/>
      <c r="B7" s="1"/>
      <c r="C7" s="1"/>
      <c r="D7" s="1"/>
      <c r="E7" s="1"/>
      <c r="F7" s="1"/>
      <c r="G7" s="1"/>
      <c r="J7" s="1">
        <f>SUM(J2:J6)</f>
        <v>524487</v>
      </c>
      <c r="K7" s="1"/>
    </row>
    <row r="8" spans="1:11" x14ac:dyDescent="0.25">
      <c r="A8" s="1"/>
      <c r="B8" s="1"/>
      <c r="C8" s="1"/>
      <c r="D8" s="1"/>
      <c r="E8" s="1"/>
      <c r="F8" s="1"/>
      <c r="G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</row>
    <row r="11" spans="1:11" x14ac:dyDescent="0.25">
      <c r="A11" s="3" t="s">
        <v>31</v>
      </c>
      <c r="B11" s="3" t="s">
        <v>32</v>
      </c>
      <c r="C11" s="3" t="s">
        <v>33</v>
      </c>
      <c r="D11" s="1" t="s">
        <v>34</v>
      </c>
      <c r="E11" s="3" t="s">
        <v>35</v>
      </c>
      <c r="F11" s="3" t="s">
        <v>29</v>
      </c>
      <c r="G11" s="3" t="s">
        <v>30</v>
      </c>
    </row>
    <row r="12" spans="1:11" x14ac:dyDescent="0.25">
      <c r="A12" s="1">
        <v>1</v>
      </c>
      <c r="B12" s="2">
        <v>46035</v>
      </c>
      <c r="C12" s="1" t="s">
        <v>36</v>
      </c>
      <c r="D12" s="1" t="s">
        <v>37</v>
      </c>
      <c r="E12" s="1">
        <v>1501250</v>
      </c>
      <c r="F12" s="1">
        <v>1500832</v>
      </c>
      <c r="G12" s="1">
        <f>E12-F12</f>
        <v>418</v>
      </c>
    </row>
    <row r="13" spans="1:11" x14ac:dyDescent="0.25">
      <c r="A13" s="2">
        <v>2</v>
      </c>
      <c r="B13" s="2">
        <v>46035</v>
      </c>
      <c r="C13" s="1"/>
      <c r="D13" s="1" t="s">
        <v>38</v>
      </c>
      <c r="E13" s="1">
        <v>500350</v>
      </c>
      <c r="F13" s="1">
        <v>499000</v>
      </c>
      <c r="G13" s="1">
        <f>E13-F13</f>
        <v>1350</v>
      </c>
    </row>
    <row r="14" spans="1:11" x14ac:dyDescent="0.25">
      <c r="A14" s="1">
        <v>3</v>
      </c>
      <c r="B14" s="2">
        <v>46035</v>
      </c>
      <c r="C14" s="1"/>
      <c r="D14" s="1" t="s">
        <v>39</v>
      </c>
      <c r="E14" s="1">
        <v>200110</v>
      </c>
      <c r="F14" s="1">
        <v>200175</v>
      </c>
      <c r="G14" s="1">
        <f>E14-F14</f>
        <v>-65</v>
      </c>
    </row>
    <row r="15" spans="1:11" x14ac:dyDescent="0.25">
      <c r="A15" s="1">
        <v>4</v>
      </c>
      <c r="B15" s="2">
        <v>46035</v>
      </c>
      <c r="C15" s="1"/>
      <c r="D15" s="1" t="s">
        <v>40</v>
      </c>
      <c r="E15" s="1">
        <v>1014950</v>
      </c>
      <c r="F15" s="1"/>
      <c r="G15" s="1"/>
    </row>
    <row r="16" spans="1:11" x14ac:dyDescent="0.25">
      <c r="A16" s="1"/>
      <c r="B16" s="1"/>
      <c r="C16" s="1"/>
      <c r="D16" s="1"/>
      <c r="E16" s="1">
        <f>SUM(E12:E15)</f>
        <v>3216660</v>
      </c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M13" sqref="M13"/>
    </sheetView>
  </sheetViews>
  <sheetFormatPr defaultRowHeight="15" x14ac:dyDescent="0.25"/>
  <cols>
    <col min="1" max="1" width="7.140625" customWidth="1"/>
    <col min="2" max="3" width="11.28515625" customWidth="1"/>
    <col min="4" max="4" width="31.28515625" customWidth="1"/>
    <col min="5" max="6" width="13.42578125" customWidth="1"/>
    <col min="7" max="7" width="12" bestFit="1" customWidth="1"/>
    <col min="10" max="10" width="10.85546875" customWidth="1"/>
  </cols>
  <sheetData>
    <row r="1" spans="1:13" x14ac:dyDescent="0.25">
      <c r="A1" s="3" t="s">
        <v>0</v>
      </c>
      <c r="B1" s="3" t="s">
        <v>6</v>
      </c>
      <c r="C1" s="3" t="s">
        <v>1</v>
      </c>
      <c r="D1" s="3" t="s">
        <v>2</v>
      </c>
      <c r="E1" s="3" t="s">
        <v>3</v>
      </c>
      <c r="F1" s="3" t="s">
        <v>11</v>
      </c>
      <c r="G1" s="1"/>
    </row>
    <row r="2" spans="1:13" x14ac:dyDescent="0.25">
      <c r="A2" s="1">
        <v>1</v>
      </c>
      <c r="B2" s="2">
        <v>46020</v>
      </c>
      <c r="C2" s="1" t="s">
        <v>4</v>
      </c>
      <c r="D2" s="1" t="s">
        <v>5</v>
      </c>
      <c r="E2" s="1">
        <v>1501150</v>
      </c>
      <c r="F2" s="1"/>
      <c r="G2" s="1"/>
      <c r="J2" s="1">
        <v>17000</v>
      </c>
      <c r="K2" s="1"/>
      <c r="L2" s="1">
        <v>89090</v>
      </c>
      <c r="M2" s="1">
        <v>16400</v>
      </c>
    </row>
    <row r="3" spans="1:13" x14ac:dyDescent="0.25">
      <c r="A3" s="1">
        <v>2</v>
      </c>
      <c r="B3" s="2">
        <v>46020</v>
      </c>
      <c r="C3" s="1"/>
      <c r="D3" s="1" t="s">
        <v>7</v>
      </c>
      <c r="E3" s="1">
        <v>998100</v>
      </c>
      <c r="F3" s="1"/>
      <c r="G3" s="1"/>
      <c r="J3" s="1">
        <v>17000</v>
      </c>
      <c r="K3" s="1"/>
      <c r="L3" s="1">
        <v>263347</v>
      </c>
      <c r="M3" s="1">
        <v>34500</v>
      </c>
    </row>
    <row r="4" spans="1:13" x14ac:dyDescent="0.25">
      <c r="A4" s="1">
        <v>3</v>
      </c>
      <c r="B4" s="2">
        <v>46020</v>
      </c>
      <c r="C4" s="1"/>
      <c r="D4" s="1" t="s">
        <v>8</v>
      </c>
      <c r="E4" s="1">
        <v>500750</v>
      </c>
      <c r="F4" s="1"/>
      <c r="G4" s="1"/>
      <c r="J4" s="1">
        <v>46200</v>
      </c>
      <c r="K4" s="1"/>
      <c r="L4" s="1">
        <v>59595</v>
      </c>
      <c r="M4" s="1">
        <v>11000</v>
      </c>
    </row>
    <row r="5" spans="1:13" x14ac:dyDescent="0.25">
      <c r="A5" s="1">
        <v>4</v>
      </c>
      <c r="B5" s="2">
        <v>46030</v>
      </c>
      <c r="C5" s="1"/>
      <c r="D5" s="1" t="s">
        <v>9</v>
      </c>
      <c r="E5" s="1">
        <v>531113</v>
      </c>
      <c r="F5" s="1"/>
      <c r="G5" s="1"/>
      <c r="J5" s="1">
        <v>17000</v>
      </c>
      <c r="K5" s="1"/>
      <c r="L5" s="1">
        <v>28497</v>
      </c>
      <c r="M5" s="1">
        <v>18400</v>
      </c>
    </row>
    <row r="6" spans="1:13" x14ac:dyDescent="0.25">
      <c r="A6" s="1">
        <v>5</v>
      </c>
      <c r="B6" s="2">
        <v>46030</v>
      </c>
      <c r="C6" s="1"/>
      <c r="D6" s="1" t="s">
        <v>10</v>
      </c>
      <c r="E6" s="1">
        <v>532714</v>
      </c>
      <c r="F6" s="1">
        <v>306200</v>
      </c>
      <c r="G6" s="1">
        <f>E6-F6</f>
        <v>226514</v>
      </c>
      <c r="J6" s="1">
        <v>49400</v>
      </c>
      <c r="K6" s="1"/>
      <c r="L6" s="1">
        <v>89975</v>
      </c>
      <c r="M6" s="1">
        <v>19000</v>
      </c>
    </row>
    <row r="7" spans="1:13" x14ac:dyDescent="0.25">
      <c r="A7" s="1"/>
      <c r="B7" s="1"/>
      <c r="C7" s="1"/>
      <c r="D7" s="1"/>
      <c r="E7" s="1"/>
      <c r="F7" s="1"/>
      <c r="G7" s="1">
        <f>G9</f>
        <v>0</v>
      </c>
      <c r="J7" s="1">
        <v>46200</v>
      </c>
      <c r="K7" s="1"/>
      <c r="L7" s="1">
        <v>25193</v>
      </c>
      <c r="M7" s="1">
        <v>18900</v>
      </c>
    </row>
    <row r="8" spans="1:13" x14ac:dyDescent="0.25">
      <c r="A8" s="1"/>
      <c r="B8" s="1"/>
      <c r="C8" s="1"/>
      <c r="D8" s="1"/>
      <c r="E8" s="1"/>
      <c r="F8" s="1"/>
      <c r="G8" s="1"/>
      <c r="J8" s="1">
        <v>134750</v>
      </c>
      <c r="K8" s="1"/>
      <c r="L8" s="1">
        <f>SUM(L2:L7)</f>
        <v>555697</v>
      </c>
      <c r="M8" s="1">
        <v>14000</v>
      </c>
    </row>
    <row r="9" spans="1:13" x14ac:dyDescent="0.25">
      <c r="A9" s="1"/>
      <c r="B9" s="1"/>
      <c r="C9" s="1"/>
      <c r="D9" s="1"/>
      <c r="E9" s="1"/>
      <c r="F9" s="1"/>
      <c r="G9" s="1"/>
      <c r="J9" s="1">
        <v>49800</v>
      </c>
      <c r="K9" s="1"/>
      <c r="L9" s="1"/>
      <c r="M9" s="1">
        <v>43350</v>
      </c>
    </row>
    <row r="10" spans="1:13" x14ac:dyDescent="0.25">
      <c r="A10" s="1"/>
      <c r="B10" s="1"/>
      <c r="C10" s="1"/>
      <c r="D10" s="1"/>
      <c r="E10" s="1"/>
      <c r="F10" s="1"/>
      <c r="G10" s="1" t="s">
        <v>15</v>
      </c>
      <c r="J10" s="1">
        <v>49400</v>
      </c>
      <c r="K10" s="1"/>
      <c r="L10" s="1"/>
      <c r="M10" s="1">
        <v>42750</v>
      </c>
    </row>
    <row r="11" spans="1:13" x14ac:dyDescent="0.25">
      <c r="A11" s="1"/>
      <c r="B11" s="1"/>
      <c r="C11" s="1"/>
      <c r="D11" s="1"/>
      <c r="E11" s="1"/>
      <c r="F11" s="1"/>
      <c r="G11" s="1"/>
      <c r="J11" s="1">
        <v>49400</v>
      </c>
      <c r="K11" s="1"/>
      <c r="L11" s="1"/>
      <c r="M11" s="1">
        <v>33500</v>
      </c>
    </row>
    <row r="12" spans="1:13" x14ac:dyDescent="0.25">
      <c r="A12" s="1"/>
      <c r="B12" s="1"/>
      <c r="C12" s="1"/>
      <c r="D12" s="1"/>
      <c r="E12" s="1"/>
      <c r="F12" s="1"/>
      <c r="G12" s="1"/>
      <c r="J12" s="1">
        <f>SUM(J2:J11)</f>
        <v>476150</v>
      </c>
      <c r="K12" s="1"/>
      <c r="L12" s="1"/>
      <c r="M12" s="1">
        <v>46400</v>
      </c>
    </row>
    <row r="13" spans="1:13" x14ac:dyDescent="0.25">
      <c r="A13" s="1"/>
      <c r="B13" s="1"/>
      <c r="C13" s="1"/>
      <c r="D13" s="1"/>
      <c r="E13" s="1"/>
      <c r="F13" s="1"/>
      <c r="G13" s="1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"/>
      <c r="J14" s="1"/>
      <c r="K14" s="1"/>
      <c r="L14" s="1"/>
      <c r="M14" s="1">
        <f>SUM(M2:M13)</f>
        <v>298200</v>
      </c>
    </row>
    <row r="15" spans="1:13" x14ac:dyDescent="0.25">
      <c r="A15" s="1"/>
      <c r="B15" s="1"/>
      <c r="C15" s="1"/>
      <c r="D15" s="1"/>
      <c r="E15" s="1"/>
      <c r="F15" s="1"/>
      <c r="G15" s="1"/>
    </row>
    <row r="16" spans="1:13" x14ac:dyDescent="0.25">
      <c r="A16" s="1"/>
      <c r="B16" s="1"/>
      <c r="C16" s="1"/>
      <c r="D16" s="1"/>
      <c r="E16" s="1"/>
      <c r="F16" s="1"/>
      <c r="G16" s="1"/>
    </row>
    <row r="17" spans="1:12" x14ac:dyDescent="0.25">
      <c r="A17" s="1"/>
      <c r="B17" s="1"/>
      <c r="C17" s="1"/>
      <c r="D17" s="1"/>
      <c r="E17" s="1"/>
      <c r="F17" s="1"/>
      <c r="G17" s="1"/>
    </row>
    <row r="18" spans="1:12" x14ac:dyDescent="0.25">
      <c r="A18" s="1"/>
      <c r="B18" s="1"/>
      <c r="C18" s="1"/>
      <c r="D18" s="1"/>
      <c r="E18" s="1"/>
      <c r="F18" s="1"/>
      <c r="G18" s="1"/>
      <c r="J18" s="1" t="s">
        <v>23</v>
      </c>
      <c r="K18" s="1" t="s">
        <v>24</v>
      </c>
      <c r="L18" s="1"/>
    </row>
    <row r="19" spans="1:12" x14ac:dyDescent="0.25">
      <c r="A19" s="1"/>
      <c r="B19" s="1"/>
      <c r="C19" s="1"/>
      <c r="D19" s="1"/>
      <c r="E19" s="1"/>
      <c r="F19" s="1"/>
      <c r="G19" s="1"/>
      <c r="J19" s="1">
        <v>65360</v>
      </c>
      <c r="K19" s="1">
        <v>28000</v>
      </c>
      <c r="L19" s="1">
        <v>219600</v>
      </c>
    </row>
    <row r="20" spans="1:12" x14ac:dyDescent="0.25">
      <c r="A20" s="1" t="s">
        <v>12</v>
      </c>
      <c r="B20" s="1" t="s">
        <v>6</v>
      </c>
      <c r="C20" s="1" t="s">
        <v>1</v>
      </c>
      <c r="D20" s="1" t="s">
        <v>13</v>
      </c>
      <c r="E20" s="1" t="s">
        <v>14</v>
      </c>
      <c r="F20" s="1" t="s">
        <v>11</v>
      </c>
      <c r="G20" s="1" t="s">
        <v>15</v>
      </c>
      <c r="J20" s="1">
        <v>91200</v>
      </c>
      <c r="K20" s="1">
        <v>22050</v>
      </c>
      <c r="L20" s="1">
        <v>223200</v>
      </c>
    </row>
    <row r="21" spans="1:12" x14ac:dyDescent="0.25">
      <c r="A21" s="1">
        <v>1</v>
      </c>
      <c r="B21" s="2">
        <v>46031</v>
      </c>
      <c r="C21" s="1" t="s">
        <v>16</v>
      </c>
      <c r="D21" s="1" t="s">
        <v>17</v>
      </c>
      <c r="E21" s="1">
        <v>503250</v>
      </c>
      <c r="F21" s="1">
        <v>503250</v>
      </c>
      <c r="G21" s="1">
        <f>E21-F21</f>
        <v>0</v>
      </c>
      <c r="J21" s="1">
        <v>84000</v>
      </c>
      <c r="K21" s="1">
        <v>22200</v>
      </c>
      <c r="L21" s="1">
        <v>223200</v>
      </c>
    </row>
    <row r="22" spans="1:12" x14ac:dyDescent="0.25">
      <c r="A22" s="1">
        <v>2</v>
      </c>
      <c r="B22" s="2">
        <v>46031</v>
      </c>
      <c r="C22" s="1"/>
      <c r="D22" s="1" t="s">
        <v>18</v>
      </c>
      <c r="E22" s="1">
        <v>1001250</v>
      </c>
      <c r="F22" s="1"/>
      <c r="G22" s="1"/>
      <c r="J22" s="1">
        <v>84000</v>
      </c>
      <c r="K22" s="1">
        <v>48750</v>
      </c>
      <c r="L22" s="1">
        <v>219600</v>
      </c>
    </row>
    <row r="23" spans="1:12" x14ac:dyDescent="0.25">
      <c r="A23" s="1">
        <v>3</v>
      </c>
      <c r="B23" s="2">
        <v>46031</v>
      </c>
      <c r="C23" s="1"/>
      <c r="D23" s="1" t="s">
        <v>19</v>
      </c>
      <c r="E23" s="1">
        <v>298750</v>
      </c>
      <c r="F23" s="1">
        <v>306200</v>
      </c>
      <c r="G23" s="1">
        <f>E23-F23</f>
        <v>-7450</v>
      </c>
      <c r="J23" s="1">
        <v>91800</v>
      </c>
      <c r="K23" s="1">
        <v>52200</v>
      </c>
      <c r="L23" s="1">
        <v>48000</v>
      </c>
    </row>
    <row r="24" spans="1:12" x14ac:dyDescent="0.25">
      <c r="A24" s="1">
        <v>4</v>
      </c>
      <c r="B24" s="2">
        <v>46031</v>
      </c>
      <c r="C24" s="1"/>
      <c r="D24" s="1" t="s">
        <v>20</v>
      </c>
      <c r="E24" s="1">
        <v>501750</v>
      </c>
      <c r="F24" s="1"/>
      <c r="G24" s="1"/>
      <c r="J24" s="1">
        <v>86890</v>
      </c>
      <c r="K24" s="1">
        <v>67000</v>
      </c>
      <c r="L24" s="1">
        <v>49600</v>
      </c>
    </row>
    <row r="25" spans="1:12" x14ac:dyDescent="0.25">
      <c r="A25" s="1">
        <v>5</v>
      </c>
      <c r="B25" s="2">
        <v>46034</v>
      </c>
      <c r="C25" s="1"/>
      <c r="D25" s="1" t="s">
        <v>21</v>
      </c>
      <c r="E25" s="1">
        <v>1000250</v>
      </c>
      <c r="F25" s="1">
        <v>1015200</v>
      </c>
      <c r="G25" s="1">
        <f>E25-F25</f>
        <v>-14950</v>
      </c>
      <c r="J25" s="1">
        <f>SUM(J19:J24)</f>
        <v>503250</v>
      </c>
      <c r="K25" s="1">
        <v>66000</v>
      </c>
      <c r="L25" s="1">
        <v>32000</v>
      </c>
    </row>
    <row r="26" spans="1:12" x14ac:dyDescent="0.25">
      <c r="A26" s="1">
        <v>6</v>
      </c>
      <c r="B26" s="2">
        <v>46034</v>
      </c>
      <c r="C26" s="1"/>
      <c r="D26" s="1" t="s">
        <v>22</v>
      </c>
      <c r="E26" s="1">
        <v>999750</v>
      </c>
      <c r="F26" s="1"/>
      <c r="G26" s="1"/>
      <c r="J26" s="1"/>
      <c r="K26" s="1">
        <f>SUM(K19:K25)</f>
        <v>306200</v>
      </c>
      <c r="L26" s="1">
        <f>SUM(L19:L25)</f>
        <v>1015200</v>
      </c>
    </row>
    <row r="27" spans="1:12" x14ac:dyDescent="0.25">
      <c r="A27" s="1"/>
      <c r="B27" s="1"/>
      <c r="C27" s="1"/>
      <c r="D27" s="1"/>
      <c r="E27" s="1"/>
      <c r="F27" s="1"/>
      <c r="G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</row>
    <row r="29" spans="1:12" x14ac:dyDescent="0.25">
      <c r="A29" s="1"/>
      <c r="B29" s="1"/>
      <c r="C29" s="1"/>
      <c r="D29" s="1"/>
      <c r="E29" s="1"/>
      <c r="F29" s="1"/>
      <c r="G29" s="1"/>
    </row>
    <row r="30" spans="1:12" x14ac:dyDescent="0.25">
      <c r="A30" s="1"/>
      <c r="B30" s="1"/>
      <c r="C30" s="1"/>
      <c r="D30" s="1"/>
      <c r="E30" s="1"/>
      <c r="F30" s="1"/>
      <c r="G30" s="1"/>
    </row>
    <row r="31" spans="1:12" x14ac:dyDescent="0.25">
      <c r="A31" s="1"/>
      <c r="B31" s="1"/>
      <c r="C31" s="1"/>
      <c r="D31" s="1"/>
      <c r="E31" s="1"/>
      <c r="F31" s="1"/>
      <c r="G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2026-02-07T11:28:21Z</dcterms:created>
  <dcterms:modified xsi:type="dcterms:W3CDTF">2026-02-07T13:32:04Z</dcterms:modified>
</cp:coreProperties>
</file>